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rithi\Downloads\"/>
    </mc:Choice>
  </mc:AlternateContent>
  <xr:revisionPtr revIDLastSave="0" documentId="13_ncr:1_{98CD1FB2-8C7B-4CDA-98FA-F79E2A732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25" i="1" l="1"/>
</calcChain>
</file>

<file path=xl/sharedStrings.xml><?xml version="1.0" encoding="utf-8"?>
<sst xmlns="http://schemas.openxmlformats.org/spreadsheetml/2006/main" count="68" uniqueCount="63">
  <si>
    <t>BILL OF MATERIALS (BOM)</t>
  </si>
  <si>
    <t>Project:</t>
  </si>
  <si>
    <t>Cold Chain Monitoring</t>
  </si>
  <si>
    <t>S.No</t>
  </si>
  <si>
    <t>Component Name</t>
  </si>
  <si>
    <t>Category</t>
  </si>
  <si>
    <t>Qty</t>
  </si>
  <si>
    <t>Unit Price (₹)</t>
  </si>
  <si>
    <t>Total Price (₹)</t>
  </si>
  <si>
    <t>Remarks</t>
  </si>
  <si>
    <t>Peltier Kit</t>
  </si>
  <si>
    <t>Cooling</t>
  </si>
  <si>
    <t>TEC1-12706 or equivalent</t>
  </si>
  <si>
    <t>Buzzer</t>
  </si>
  <si>
    <t>Alert/Output</t>
  </si>
  <si>
    <t>Active buzzer, 5V</t>
  </si>
  <si>
    <t>LED</t>
  </si>
  <si>
    <t>Indicator</t>
  </si>
  <si>
    <t>5mm LED (₹1 each)</t>
  </si>
  <si>
    <t>Jumper Wires</t>
  </si>
  <si>
    <t>Connectivity</t>
  </si>
  <si>
    <t>M-M / M-F / F-F (₹3 each)</t>
  </si>
  <si>
    <t>12V Relay</t>
  </si>
  <si>
    <t>Control</t>
  </si>
  <si>
    <t>Single channel relay module</t>
  </si>
  <si>
    <t>ESP32</t>
  </si>
  <si>
    <t>Microcontroller</t>
  </si>
  <si>
    <t>ESP32 Dev Board</t>
  </si>
  <si>
    <t>SIM900 GSM Module</t>
  </si>
  <si>
    <t>Communication</t>
  </si>
  <si>
    <t>GSM/GPRS module</t>
  </si>
  <si>
    <t>DHT22 Sensor</t>
  </si>
  <si>
    <t>Sensing</t>
  </si>
  <si>
    <t>Temp &amp; Humidity (₹130 each)</t>
  </si>
  <si>
    <t>Battery Pack</t>
  </si>
  <si>
    <t>Power</t>
  </si>
  <si>
    <t>Rechargeable Li-ion pack</t>
  </si>
  <si>
    <t>DC Wire</t>
  </si>
  <si>
    <t>Power wire set</t>
  </si>
  <si>
    <t>LCD I2C (16x2)</t>
  </si>
  <si>
    <t>Display</t>
  </si>
  <si>
    <t>I2C interface LCD module</t>
  </si>
  <si>
    <t>5V Charger</t>
  </si>
  <si>
    <t>USB 5V charger adapter</t>
  </si>
  <si>
    <t>LM2596 Buck Converter</t>
  </si>
  <si>
    <t>DC-DC step-down regulator</t>
  </si>
  <si>
    <t>Magnetic Reed Sensor</t>
  </si>
  <si>
    <t>Door/lid open detection</t>
  </si>
  <si>
    <t>Resistor</t>
  </si>
  <si>
    <t>Passive</t>
  </si>
  <si>
    <t>Assorted resistor pack</t>
  </si>
  <si>
    <t>ESP32 USB Cable</t>
  </si>
  <si>
    <t>Micro-USB / Type-C cable</t>
  </si>
  <si>
    <t>Breadboard</t>
  </si>
  <si>
    <t>Prototyping</t>
  </si>
  <si>
    <t>830-point breadboard</t>
  </si>
  <si>
    <t>Thermocol Box</t>
  </si>
  <si>
    <t>Enclosure</t>
  </si>
  <si>
    <t>Insulated cold storage box</t>
  </si>
  <si>
    <t>GRAND TOTAL</t>
  </si>
  <si>
    <t>Cohort:</t>
  </si>
  <si>
    <t xml:space="preserve"> IOT Cohort 4</t>
  </si>
  <si>
    <t>IoT-Based Cold Chain Monitoring System For Real- Time Monitoring And Predictive Failure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</si>
</sst>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b/>
      <sz val="9"/>
      <color rgb="FF1F4E79"/>
      <name val="Arial"/>
    </font>
    <font>
      <sz val="9"/>
      <name val="Arial"/>
    </font>
    <font>
      <b/>
      <sz val="10"/>
      <color rgb="FFFFFFFF"/>
      <name val="Arial"/>
    </font>
    <font>
      <b/>
      <sz val="11"/>
      <color rgb="FF1F4E79"/>
      <name val="Arial"/>
    </font>
    <font>
      <i/>
      <sz val="9"/>
      <color rgb="FF595959"/>
      <name val="Arial"/>
    </font>
    <font>
      <i/>
      <sz val="8"/>
      <color rgb="FF40404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6" topLeftCell="A7" activePane="bottomLeft" state="frozen"/>
      <selection pane="bottomLeft" activeCell="A2" sqref="A2:G2"/>
    </sheetView>
  </sheetViews>
  <sheetFormatPr defaultRowHeight="14.4" x14ac:dyDescent="0.3"/>
  <cols>
    <col min="1" max="1" width="6" customWidth="1"/>
    <col min="2" max="2" width="26" customWidth="1"/>
    <col min="3" max="3" width="18" customWidth="1"/>
    <col min="4" max="4" width="6" customWidth="1"/>
    <col min="5" max="6" width="16" customWidth="1"/>
    <col min="7" max="7" width="34" customWidth="1"/>
  </cols>
  <sheetData>
    <row r="1" spans="1:7" ht="31.95" customHeight="1" x14ac:dyDescent="0.3">
      <c r="A1" s="12" t="s">
        <v>0</v>
      </c>
      <c r="B1" s="10"/>
      <c r="C1" s="10"/>
      <c r="D1" s="10"/>
      <c r="E1" s="10"/>
      <c r="F1" s="10"/>
      <c r="G1" s="10"/>
    </row>
    <row r="2" spans="1:7" ht="19.95" customHeight="1" x14ac:dyDescent="0.3">
      <c r="A2" s="14" t="s">
        <v>62</v>
      </c>
      <c r="B2" s="10"/>
      <c r="C2" s="10"/>
      <c r="D2" s="10"/>
      <c r="E2" s="10"/>
      <c r="F2" s="10"/>
      <c r="G2" s="10"/>
    </row>
    <row r="3" spans="1:7" ht="15" customHeight="1" x14ac:dyDescent="0.3">
      <c r="A3" s="1" t="s">
        <v>1</v>
      </c>
      <c r="B3" s="11" t="s">
        <v>2</v>
      </c>
      <c r="C3" s="10"/>
      <c r="D3" s="1"/>
      <c r="E3" s="11"/>
      <c r="F3" s="10"/>
    </row>
    <row r="4" spans="1:7" ht="15" customHeight="1" x14ac:dyDescent="0.3">
      <c r="A4" s="1" t="s">
        <v>60</v>
      </c>
      <c r="B4" s="11" t="s">
        <v>61</v>
      </c>
      <c r="C4" s="10"/>
      <c r="D4" s="1"/>
      <c r="E4" s="11"/>
      <c r="F4" s="10"/>
    </row>
    <row r="5" spans="1:7" ht="7.95" customHeight="1" x14ac:dyDescent="0.3"/>
    <row r="6" spans="1:7" ht="28.05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ht="18" customHeight="1" x14ac:dyDescent="0.3">
      <c r="A7" s="3">
        <v>1</v>
      </c>
      <c r="B7" s="4" t="s">
        <v>10</v>
      </c>
      <c r="C7" s="4" t="s">
        <v>11</v>
      </c>
      <c r="D7" s="3">
        <v>1</v>
      </c>
      <c r="E7" s="3">
        <v>630</v>
      </c>
      <c r="F7" s="3">
        <f t="shared" ref="F7:F24" si="0">D7*E7</f>
        <v>630</v>
      </c>
      <c r="G7" s="4" t="s">
        <v>12</v>
      </c>
    </row>
    <row r="8" spans="1:7" ht="18" customHeight="1" x14ac:dyDescent="0.3">
      <c r="A8" s="5">
        <v>2</v>
      </c>
      <c r="B8" s="6" t="s">
        <v>13</v>
      </c>
      <c r="C8" s="6" t="s">
        <v>14</v>
      </c>
      <c r="D8" s="5">
        <v>1</v>
      </c>
      <c r="E8" s="5">
        <v>10</v>
      </c>
      <c r="F8" s="5">
        <f t="shared" si="0"/>
        <v>10</v>
      </c>
      <c r="G8" s="6" t="s">
        <v>15</v>
      </c>
    </row>
    <row r="9" spans="1:7" ht="18" customHeight="1" x14ac:dyDescent="0.3">
      <c r="A9" s="3">
        <v>3</v>
      </c>
      <c r="B9" s="4" t="s">
        <v>16</v>
      </c>
      <c r="C9" s="4" t="s">
        <v>17</v>
      </c>
      <c r="D9" s="3">
        <v>3</v>
      </c>
      <c r="E9" s="3">
        <v>1</v>
      </c>
      <c r="F9" s="3">
        <f t="shared" si="0"/>
        <v>3</v>
      </c>
      <c r="G9" s="4" t="s">
        <v>18</v>
      </c>
    </row>
    <row r="10" spans="1:7" ht="18" customHeight="1" x14ac:dyDescent="0.3">
      <c r="A10" s="5">
        <v>4</v>
      </c>
      <c r="B10" s="6" t="s">
        <v>19</v>
      </c>
      <c r="C10" s="6" t="s">
        <v>20</v>
      </c>
      <c r="D10" s="5">
        <v>50</v>
      </c>
      <c r="E10" s="5">
        <v>3</v>
      </c>
      <c r="F10" s="5">
        <f t="shared" si="0"/>
        <v>150</v>
      </c>
      <c r="G10" s="6" t="s">
        <v>21</v>
      </c>
    </row>
    <row r="11" spans="1:7" ht="18" customHeight="1" x14ac:dyDescent="0.3">
      <c r="A11" s="3">
        <v>5</v>
      </c>
      <c r="B11" s="4" t="s">
        <v>22</v>
      </c>
      <c r="C11" s="4" t="s">
        <v>23</v>
      </c>
      <c r="D11" s="3">
        <v>1</v>
      </c>
      <c r="E11" s="3">
        <v>100</v>
      </c>
      <c r="F11" s="3">
        <f t="shared" si="0"/>
        <v>100</v>
      </c>
      <c r="G11" s="4" t="s">
        <v>24</v>
      </c>
    </row>
    <row r="12" spans="1:7" ht="18" customHeight="1" x14ac:dyDescent="0.3">
      <c r="A12" s="5">
        <v>6</v>
      </c>
      <c r="B12" s="6" t="s">
        <v>25</v>
      </c>
      <c r="C12" s="6" t="s">
        <v>26</v>
      </c>
      <c r="D12" s="5">
        <v>1</v>
      </c>
      <c r="E12" s="5">
        <v>330</v>
      </c>
      <c r="F12" s="5">
        <f t="shared" si="0"/>
        <v>330</v>
      </c>
      <c r="G12" s="6" t="s">
        <v>27</v>
      </c>
    </row>
    <row r="13" spans="1:7" ht="18" customHeight="1" x14ac:dyDescent="0.3">
      <c r="A13" s="3">
        <v>7</v>
      </c>
      <c r="B13" s="4" t="s">
        <v>28</v>
      </c>
      <c r="C13" s="4" t="s">
        <v>29</v>
      </c>
      <c r="D13" s="3">
        <v>1</v>
      </c>
      <c r="E13" s="3">
        <v>600</v>
      </c>
      <c r="F13" s="3">
        <f t="shared" si="0"/>
        <v>600</v>
      </c>
      <c r="G13" s="4" t="s">
        <v>30</v>
      </c>
    </row>
    <row r="14" spans="1:7" ht="18" customHeight="1" x14ac:dyDescent="0.3">
      <c r="A14" s="5">
        <v>8</v>
      </c>
      <c r="B14" s="6" t="s">
        <v>31</v>
      </c>
      <c r="C14" s="6" t="s">
        <v>32</v>
      </c>
      <c r="D14" s="5">
        <v>2</v>
      </c>
      <c r="E14" s="5">
        <v>130</v>
      </c>
      <c r="F14" s="5">
        <f t="shared" si="0"/>
        <v>260</v>
      </c>
      <c r="G14" s="6" t="s">
        <v>33</v>
      </c>
    </row>
    <row r="15" spans="1:7" ht="18" customHeight="1" x14ac:dyDescent="0.3">
      <c r="A15" s="3">
        <v>9</v>
      </c>
      <c r="B15" s="4" t="s">
        <v>34</v>
      </c>
      <c r="C15" s="4" t="s">
        <v>35</v>
      </c>
      <c r="D15" s="3">
        <v>1</v>
      </c>
      <c r="E15" s="3">
        <v>400</v>
      </c>
      <c r="F15" s="3">
        <f t="shared" si="0"/>
        <v>400</v>
      </c>
      <c r="G15" s="4" t="s">
        <v>36</v>
      </c>
    </row>
    <row r="16" spans="1:7" ht="18" customHeight="1" x14ac:dyDescent="0.3">
      <c r="A16" s="5">
        <v>10</v>
      </c>
      <c r="B16" s="6" t="s">
        <v>37</v>
      </c>
      <c r="C16" s="6" t="s">
        <v>20</v>
      </c>
      <c r="D16" s="5">
        <v>1</v>
      </c>
      <c r="E16" s="5">
        <v>20</v>
      </c>
      <c r="F16" s="5">
        <f t="shared" si="0"/>
        <v>20</v>
      </c>
      <c r="G16" s="6" t="s">
        <v>38</v>
      </c>
    </row>
    <row r="17" spans="1:7" ht="18" customHeight="1" x14ac:dyDescent="0.3">
      <c r="A17" s="3">
        <v>11</v>
      </c>
      <c r="B17" s="4" t="s">
        <v>39</v>
      </c>
      <c r="C17" s="4" t="s">
        <v>40</v>
      </c>
      <c r="D17" s="3">
        <v>1</v>
      </c>
      <c r="E17" s="3">
        <v>150</v>
      </c>
      <c r="F17" s="3">
        <f t="shared" si="0"/>
        <v>150</v>
      </c>
      <c r="G17" s="4" t="s">
        <v>41</v>
      </c>
    </row>
    <row r="18" spans="1:7" ht="18" customHeight="1" x14ac:dyDescent="0.3">
      <c r="A18" s="5">
        <v>12</v>
      </c>
      <c r="B18" s="6" t="s">
        <v>42</v>
      </c>
      <c r="C18" s="6" t="s">
        <v>35</v>
      </c>
      <c r="D18" s="5">
        <v>1</v>
      </c>
      <c r="E18" s="5">
        <v>50</v>
      </c>
      <c r="F18" s="5">
        <f t="shared" si="0"/>
        <v>50</v>
      </c>
      <c r="G18" s="6" t="s">
        <v>43</v>
      </c>
    </row>
    <row r="19" spans="1:7" ht="18" customHeight="1" x14ac:dyDescent="0.3">
      <c r="A19" s="3">
        <v>13</v>
      </c>
      <c r="B19" s="4" t="s">
        <v>44</v>
      </c>
      <c r="C19" s="4" t="s">
        <v>35</v>
      </c>
      <c r="D19" s="3">
        <v>1</v>
      </c>
      <c r="E19" s="3">
        <v>50</v>
      </c>
      <c r="F19" s="3">
        <f t="shared" si="0"/>
        <v>50</v>
      </c>
      <c r="G19" s="4" t="s">
        <v>45</v>
      </c>
    </row>
    <row r="20" spans="1:7" ht="18" customHeight="1" x14ac:dyDescent="0.3">
      <c r="A20" s="5">
        <v>14</v>
      </c>
      <c r="B20" s="6" t="s">
        <v>46</v>
      </c>
      <c r="C20" s="6" t="s">
        <v>32</v>
      </c>
      <c r="D20" s="5">
        <v>1</v>
      </c>
      <c r="E20" s="5">
        <v>60</v>
      </c>
      <c r="F20" s="5">
        <f t="shared" si="0"/>
        <v>60</v>
      </c>
      <c r="G20" s="6" t="s">
        <v>47</v>
      </c>
    </row>
    <row r="21" spans="1:7" ht="18" customHeight="1" x14ac:dyDescent="0.3">
      <c r="A21" s="3">
        <v>15</v>
      </c>
      <c r="B21" s="4" t="s">
        <v>48</v>
      </c>
      <c r="C21" s="4" t="s">
        <v>49</v>
      </c>
      <c r="D21" s="3">
        <v>1</v>
      </c>
      <c r="E21" s="3">
        <v>15</v>
      </c>
      <c r="F21" s="3">
        <f t="shared" si="0"/>
        <v>15</v>
      </c>
      <c r="G21" s="4" t="s">
        <v>50</v>
      </c>
    </row>
    <row r="22" spans="1:7" ht="18" customHeight="1" x14ac:dyDescent="0.3">
      <c r="A22" s="5">
        <v>16</v>
      </c>
      <c r="B22" s="6" t="s">
        <v>51</v>
      </c>
      <c r="C22" s="6" t="s">
        <v>20</v>
      </c>
      <c r="D22" s="5">
        <v>1</v>
      </c>
      <c r="E22" s="5">
        <v>50</v>
      </c>
      <c r="F22" s="5">
        <f t="shared" si="0"/>
        <v>50</v>
      </c>
      <c r="G22" s="6" t="s">
        <v>52</v>
      </c>
    </row>
    <row r="23" spans="1:7" ht="18" customHeight="1" x14ac:dyDescent="0.3">
      <c r="A23" s="3">
        <v>17</v>
      </c>
      <c r="B23" s="4" t="s">
        <v>53</v>
      </c>
      <c r="C23" s="4" t="s">
        <v>54</v>
      </c>
      <c r="D23" s="3">
        <v>1</v>
      </c>
      <c r="E23" s="3">
        <v>50</v>
      </c>
      <c r="F23" s="3">
        <f t="shared" si="0"/>
        <v>50</v>
      </c>
      <c r="G23" s="4" t="s">
        <v>55</v>
      </c>
    </row>
    <row r="24" spans="1:7" ht="18" customHeight="1" x14ac:dyDescent="0.3">
      <c r="A24" s="5">
        <v>18</v>
      </c>
      <c r="B24" s="6" t="s">
        <v>56</v>
      </c>
      <c r="C24" s="6" t="s">
        <v>57</v>
      </c>
      <c r="D24" s="5">
        <v>1</v>
      </c>
      <c r="E24" s="5">
        <v>230</v>
      </c>
      <c r="F24" s="5">
        <f t="shared" si="0"/>
        <v>230</v>
      </c>
      <c r="G24" s="6" t="s">
        <v>58</v>
      </c>
    </row>
    <row r="25" spans="1:7" ht="22.05" customHeight="1" x14ac:dyDescent="0.3">
      <c r="A25" s="13" t="s">
        <v>59</v>
      </c>
      <c r="B25" s="10"/>
      <c r="C25" s="10"/>
      <c r="D25" s="10"/>
      <c r="E25" s="10"/>
      <c r="F25" s="7">
        <f>SUM(F7:F24)</f>
        <v>3158</v>
      </c>
      <c r="G25" s="8"/>
    </row>
    <row r="27" spans="1:7" ht="13.95" customHeight="1" x14ac:dyDescent="0.3">
      <c r="A27" s="9"/>
      <c r="B27" s="10"/>
      <c r="C27" s="10"/>
      <c r="D27" s="10"/>
      <c r="E27" s="10"/>
      <c r="F27" s="10"/>
      <c r="G27" s="10"/>
    </row>
    <row r="28" spans="1:7" ht="13.95" customHeight="1" x14ac:dyDescent="0.3">
      <c r="A28" s="9"/>
      <c r="B28" s="10"/>
      <c r="C28" s="10"/>
      <c r="D28" s="10"/>
      <c r="E28" s="10"/>
      <c r="F28" s="10"/>
      <c r="G28" s="10"/>
    </row>
    <row r="29" spans="1:7" ht="13.95" customHeight="1" x14ac:dyDescent="0.3">
      <c r="A29" s="9"/>
      <c r="B29" s="10"/>
      <c r="C29" s="10"/>
      <c r="D29" s="10"/>
      <c r="E29" s="10"/>
      <c r="F29" s="10"/>
      <c r="G29" s="10"/>
    </row>
    <row r="30" spans="1:7" ht="13.95" customHeight="1" x14ac:dyDescent="0.3">
      <c r="A30" s="9"/>
      <c r="B30" s="10"/>
      <c r="C30" s="10"/>
      <c r="D30" s="10"/>
      <c r="E30" s="10"/>
      <c r="F30" s="10"/>
      <c r="G30" s="10"/>
    </row>
    <row r="31" spans="1:7" ht="13.95" customHeight="1" x14ac:dyDescent="0.3">
      <c r="A31" s="9"/>
      <c r="B31" s="10"/>
      <c r="C31" s="10"/>
      <c r="D31" s="10"/>
      <c r="E31" s="10"/>
      <c r="F31" s="10"/>
      <c r="G31" s="10"/>
    </row>
  </sheetData>
  <mergeCells count="12">
    <mergeCell ref="A31:G31"/>
    <mergeCell ref="E3:F3"/>
    <mergeCell ref="A30:G30"/>
    <mergeCell ref="A1:G1"/>
    <mergeCell ref="A25:E25"/>
    <mergeCell ref="A29:G29"/>
    <mergeCell ref="B3:C3"/>
    <mergeCell ref="B4:C4"/>
    <mergeCell ref="E4:F4"/>
    <mergeCell ref="A28:G28"/>
    <mergeCell ref="A2:G2"/>
    <mergeCell ref="A27:G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Krithi Prabhu</cp:lastModifiedBy>
  <dcterms:created xsi:type="dcterms:W3CDTF">2026-05-14T13:30:25Z</dcterms:created>
  <dcterms:modified xsi:type="dcterms:W3CDTF">2026-05-14T13:43:52Z</dcterms:modified>
</cp:coreProperties>
</file>